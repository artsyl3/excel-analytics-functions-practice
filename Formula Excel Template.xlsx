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hanb\OneDrive\Desktop\excel-analytics-functions-practice\"/>
    </mc:Choice>
  </mc:AlternateContent>
  <xr:revisionPtr revIDLastSave="0" documentId="13_ncr:1_{3B4BB6C9-3C08-4849-8819-164F1C6A752E}" xr6:coauthVersionLast="47" xr6:coauthVersionMax="47" xr10:uidLastSave="{00000000-0000-0000-0000-000000000000}"/>
  <bookViews>
    <workbookView xWindow="-110" yWindow="-110" windowWidth="19420" windowHeight="10420" firstSheet="6" activeTab="10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Substitute" sheetId="7" r:id="rId7"/>
    <sheet name="SUM-SumIF" sheetId="12" r:id="rId8"/>
    <sheet name="Count-CountIF" sheetId="5" r:id="rId9"/>
    <sheet name="Concatenate" sheetId="1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3" l="1"/>
  <c r="J10" i="13"/>
  <c r="J9" i="13"/>
  <c r="J8" i="13"/>
  <c r="J7" i="13"/>
  <c r="J6" i="13"/>
  <c r="J5" i="13"/>
  <c r="J4" i="13"/>
  <c r="J3" i="13"/>
  <c r="J2" i="13"/>
  <c r="L2" i="5"/>
  <c r="K2" i="5"/>
  <c r="J2" i="5"/>
  <c r="L2" i="12"/>
  <c r="K2" i="12"/>
  <c r="J2" i="12"/>
  <c r="L2" i="7" a="1"/>
  <c r="L2" i="7" s="1"/>
  <c r="J2" i="1" a="1"/>
  <c r="J2" i="1" s="1"/>
  <c r="J2" i="6" a="1"/>
  <c r="J2" i="6" s="1"/>
  <c r="J2" i="3" a="1"/>
  <c r="J2" i="3" s="1"/>
  <c r="L2" i="4" a="1"/>
  <c r="L2" i="4" s="1"/>
  <c r="K2" i="4" a="1"/>
  <c r="K2" i="4" s="1"/>
  <c r="J2" i="2" a="1"/>
  <c r="J2" i="2" s="1"/>
  <c r="K2" i="8" a="1"/>
  <c r="K2" i="8" s="1"/>
  <c r="J2" i="8" a="1"/>
  <c r="J2" i="8" s="1"/>
  <c r="K3" i="9"/>
  <c r="J3" i="9"/>
  <c r="K2" i="9"/>
  <c r="J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<sst xmlns="http://schemas.openxmlformats.org/spreadsheetml/2006/main" count="583" uniqueCount="88">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</sst>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0"/>
  <sheetViews>
    <sheetView workbookViewId="0">
      <selection activeCell="K4" sqref="K4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>
        <f>MAX(H2:H10)</f>
        <v>37933</v>
      </c>
      <c r="K2" s="1">
        <f>MIN(H2:H10)</f>
        <v>35040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MAX(G2:G10)</f>
        <v>65000</v>
      </c>
      <c r="K3">
        <f>MIN(G2:G10)</f>
        <v>36000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K3" sqref="K3"/>
    </sheetView>
  </sheetViews>
  <sheetFormatPr defaultColWidth="13.6328125" defaultRowHeight="14.5" x14ac:dyDescent="0.35"/>
  <cols>
    <col min="1" max="1" width="10.81640625" bestFit="1" customWidth="1"/>
    <col min="4" max="4" width="7.6328125" customWidth="1"/>
    <col min="11" max="11" width="18.906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IF(D2:D10&gt;30,"Old","Young")</f>
        <v>Young</v>
      </c>
      <c r="K2" t="str" cm="1">
        <f t="array" ref="K2:K10">_xlfn.IFS(F2:F10="Salesman","sale",F2:F10="HR","Fire_immidietely", F2:F10="accountant","Money")</f>
        <v>sale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Young</v>
      </c>
      <c r="K3" t="e">
        <v>#N/A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sale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Old</v>
      </c>
      <c r="K5" t="str">
        <v>Money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Old</v>
      </c>
      <c r="K6" t="str">
        <v>Fire_immidietely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Old</v>
      </c>
      <c r="K7" t="e">
        <v>#N/A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Old</v>
      </c>
      <c r="K8" t="e">
        <v>#N/A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Old</v>
      </c>
      <c r="K9" t="str">
        <v>sale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Old</v>
      </c>
      <c r="K10" t="str">
        <v>Money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J3" sqref="J3"/>
    </sheetView>
  </sheetViews>
  <sheetFormatPr defaultColWidth="10.90625" defaultRowHeight="14.5" x14ac:dyDescent="0.35"/>
  <cols>
    <col min="1" max="1" width="10.81640625" bestFit="1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LEN(C2:C10)</f>
        <v>7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7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10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5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6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topLeftCell="C1" workbookViewId="0">
      <selection activeCell="L3" sqref="L3"/>
    </sheetView>
  </sheetViews>
  <sheetFormatPr defaultColWidth="14.54296875" defaultRowHeight="14.5" x14ac:dyDescent="0.35"/>
  <cols>
    <col min="4" max="4" width="8" customWidth="1"/>
    <col min="10" max="10" width="32.36328125" bestFit="1" customWidth="1"/>
  </cols>
  <sheetData>
    <row r="1" spans="1:13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LEFT(C2:C10,3)</f>
        <v>Hal</v>
      </c>
      <c r="L2" t="str" cm="1">
        <f t="array" ref="L2:L10">RIGHT(H2:H10,4)</f>
        <v>2001</v>
      </c>
    </row>
    <row r="3" spans="1:13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Bea</v>
      </c>
      <c r="L3" t="str">
        <v>1999</v>
      </c>
    </row>
    <row r="4" spans="1:13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Sch</v>
      </c>
      <c r="L4" t="str">
        <v>2000</v>
      </c>
    </row>
    <row r="5" spans="1:13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Mar</v>
      </c>
      <c r="L5" t="str">
        <v>2000</v>
      </c>
    </row>
    <row r="6" spans="1:13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Fle</v>
      </c>
      <c r="L6" t="str">
        <v>2001</v>
      </c>
    </row>
    <row r="7" spans="1:13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Sco</v>
      </c>
      <c r="L7" t="str">
        <v>2001</v>
      </c>
    </row>
    <row r="8" spans="1:13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Pal</v>
      </c>
      <c r="L8" t="str">
        <v>2003</v>
      </c>
    </row>
    <row r="9" spans="1:13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Hud</v>
      </c>
      <c r="L9" t="str">
        <v>2002</v>
      </c>
    </row>
    <row r="10" spans="1:13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Mal</v>
      </c>
      <c r="L10" t="str">
        <v>2003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K13"/>
  <sheetViews>
    <sheetView workbookViewId="0">
      <selection activeCell="J3" sqref="J3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TEXT(H2:H10,"dd/mm/yyyy")</f>
        <v>02/11/2001</v>
      </c>
      <c r="K2" s="2"/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03/10/1999</v>
      </c>
      <c r="K3" s="2"/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04/07/2000</v>
      </c>
      <c r="K4" s="2"/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05/01/2000</v>
      </c>
      <c r="K5" s="2"/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06/05/2001</v>
      </c>
      <c r="K6" s="2"/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07/12/1995</v>
      </c>
      <c r="K7" s="2"/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08/11/2003</v>
      </c>
      <c r="K8" s="2"/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09/06/2002</v>
      </c>
      <c r="K9" s="2"/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10/08/2003</v>
      </c>
      <c r="K10" s="2"/>
    </row>
    <row r="12" spans="1:11" x14ac:dyDescent="0.35">
      <c r="H12" s="1"/>
    </row>
    <row r="13" spans="1:11" x14ac:dyDescent="0.3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J2" sqref="J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3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</row>
    <row r="3" spans="1:11" x14ac:dyDescent="0.3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</row>
    <row r="4" spans="1:11" x14ac:dyDescent="0.3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</row>
    <row r="5" spans="1:11" x14ac:dyDescent="0.3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</row>
    <row r="6" spans="1:11" x14ac:dyDescent="0.3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</row>
    <row r="7" spans="1:11" x14ac:dyDescent="0.3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Scott</v>
      </c>
    </row>
    <row r="8" spans="1:11" x14ac:dyDescent="0.3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Palmer</v>
      </c>
    </row>
    <row r="9" spans="1:11" x14ac:dyDescent="0.3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</row>
    <row r="10" spans="1:11" x14ac:dyDescent="0.3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L2" sqref="L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L2" t="str" cm="1">
        <f t="array" ref="L2:L10">SUBSTITUTE(H2:H10, "/", "-")</f>
        <v>11-2-2001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L3" t="str">
        <v>10-3-1999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L4" t="str">
        <v>7-4-2000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L5" t="str">
        <v>1-5-2000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L6" t="str">
        <v>5-6-2001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L7" t="str">
        <v>5-6-2001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L8" t="str">
        <v>11-8-2003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L9" t="str">
        <v>6-9-2002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L10" t="str">
        <v>8-10-2003</v>
      </c>
    </row>
    <row r="12" spans="1:12" x14ac:dyDescent="0.35">
      <c r="H12" s="2"/>
      <c r="I12" s="2"/>
    </row>
    <row r="13" spans="1:12" x14ac:dyDescent="0.35">
      <c r="H13" s="2"/>
      <c r="I13" s="2"/>
    </row>
    <row r="14" spans="1:12" x14ac:dyDescent="0.35">
      <c r="H14" s="2"/>
      <c r="I14" s="2"/>
    </row>
    <row r="15" spans="1:12" x14ac:dyDescent="0.35">
      <c r="H15" s="2"/>
      <c r="I15" s="2"/>
    </row>
    <row r="16" spans="1:12" x14ac:dyDescent="0.35">
      <c r="H16" s="2"/>
      <c r="I16" s="2"/>
    </row>
    <row r="17" spans="8:9" x14ac:dyDescent="0.35">
      <c r="H17" s="2"/>
      <c r="I17" s="2"/>
    </row>
    <row r="18" spans="8:9" x14ac:dyDescent="0.35">
      <c r="H18" s="2"/>
      <c r="I18" s="2"/>
    </row>
    <row r="19" spans="8:9" x14ac:dyDescent="0.35">
      <c r="H19" s="2"/>
      <c r="I19" s="2"/>
    </row>
    <row r="20" spans="8:9" x14ac:dyDescent="0.35">
      <c r="H20" s="2"/>
      <c r="I20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L2" sqref="L2"/>
    </sheetView>
  </sheetViews>
  <sheetFormatPr defaultColWidth="13" defaultRowHeight="14.5" x14ac:dyDescent="0.35"/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SUM(G2:G10)</f>
        <v>437000</v>
      </c>
      <c r="K2">
        <f>SUMIF(G2:G10,"&gt;50000")</f>
        <v>128000</v>
      </c>
      <c r="L2">
        <f>SUMIFS(G2:G10,E2:E10,"female",D2:D10,"&lt;31")</f>
        <v>36000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L2" sqref="L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COUNT(G2:G10)</f>
        <v>9</v>
      </c>
      <c r="K2">
        <f>COUNTIF(G2:G10,"&gt;50000")</f>
        <v>2</v>
      </c>
      <c r="L2">
        <f>COUNTIFS(D2:D10,"&gt;30",E2:E10,"male")</f>
        <v>4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J12"/>
  <sheetViews>
    <sheetView workbookViewId="0">
      <selection activeCell="J2" sqref="J2"/>
    </sheetView>
  </sheetViews>
  <sheetFormatPr defaultRowHeight="14.5" x14ac:dyDescent="0.35"/>
  <cols>
    <col min="2" max="2" width="10.453125" customWidth="1"/>
    <col min="3" max="5" width="10.6328125" customWidth="1"/>
    <col min="6" max="6" width="16.54296875" customWidth="1"/>
    <col min="8" max="8" width="14.1796875" customWidth="1"/>
    <col min="9" max="9" width="14.81640625" customWidth="1"/>
    <col min="10" max="10" width="22" bestFit="1" customWidth="1"/>
  </cols>
  <sheetData>
    <row r="1" spans="1:10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0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CONCATENATE(B2:B10," ",C2:C10)</f>
        <v>Jim Halpert</v>
      </c>
    </row>
    <row r="3" spans="1:10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Pam Beasley</v>
      </c>
    </row>
    <row r="4" spans="1:10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Dwight Schrute</v>
      </c>
    </row>
    <row r="5" spans="1:10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Angela Martin</v>
      </c>
    </row>
    <row r="6" spans="1:10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Toby Flenderson</v>
      </c>
    </row>
    <row r="7" spans="1:10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Michael Scott</v>
      </c>
    </row>
    <row r="8" spans="1:10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Meredith Palmer</v>
      </c>
    </row>
    <row r="9" spans="1:10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Stanley Hudson</v>
      </c>
    </row>
    <row r="10" spans="1:10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Kevin Malone</v>
      </c>
    </row>
    <row r="11" spans="1:10" x14ac:dyDescent="0.35">
      <c r="H11" t="str">
        <f t="shared" ref="H11:H12" si="0">CONCATENATE(B11," ",C11)</f>
        <v xml:space="preserve"> </v>
      </c>
    </row>
    <row r="12" spans="1:10" x14ac:dyDescent="0.35">
      <c r="H12" t="str">
        <f t="shared" si="0"/>
        <v xml:space="preserve"> 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tabSelected="1" workbookViewId="0">
      <selection activeCell="K2" sqref="K2"/>
    </sheetView>
  </sheetViews>
  <sheetFormatPr defaultRowHeight="14.5" x14ac:dyDescent="0.35"/>
  <cols>
    <col min="8" max="8" width="14.453125" customWidth="1"/>
    <col min="9" max="9" width="13.3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>
        <f>_xlfn.DAYS(I2,H2)</f>
        <v>5056</v>
      </c>
      <c r="K2">
        <f>NETWORKDAYS(H2,I2)</f>
        <v>3611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>
        <f t="shared" ref="J3:J10" si="0">_xlfn.DAYS(I3,H3)</f>
        <v>5851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>
        <f t="shared" si="0"/>
        <v>6275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>
        <f t="shared" si="0"/>
        <v>5811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>
        <f t="shared" si="0"/>
        <v>5960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>
        <f t="shared" si="0"/>
        <v>4511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>
        <f t="shared" si="0"/>
        <v>3595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>
        <f t="shared" si="0"/>
        <v>4700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>
        <f t="shared" si="0"/>
        <v>4273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Ghanbari, Negar</cp:lastModifiedBy>
  <dcterms:created xsi:type="dcterms:W3CDTF">2021-12-16T14:18:34Z</dcterms:created>
  <dcterms:modified xsi:type="dcterms:W3CDTF">2026-03-15T13:43:16Z</dcterms:modified>
</cp:coreProperties>
</file>